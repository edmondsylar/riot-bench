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rk-reese/code/ticktalk/ticktalkpython/competition/data_analysis/"/>
    </mc:Choice>
  </mc:AlternateContent>
  <xr:revisionPtr revIDLastSave="0" documentId="8_{A0AC697B-EC55-B14D-9A18-97D826900325}" xr6:coauthVersionLast="46" xr6:coauthVersionMax="46" xr10:uidLastSave="{00000000-0000-0000-0000-000000000000}"/>
  <bookViews>
    <workbookView xWindow="0" yWindow="680" windowWidth="35840" windowHeight="20020" activeTab="2" xr2:uid="{6659AC9D-8546-934E-A7B6-6CEA2B65213A}"/>
  </bookViews>
  <sheets>
    <sheet name="Sheet2" sheetId="2" r:id="rId1"/>
    <sheet name="RSU1" sheetId="1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" i="3" l="1"/>
  <c r="G49" i="3"/>
  <c r="H49" i="3"/>
  <c r="I49" i="3"/>
  <c r="F42" i="3"/>
  <c r="G42" i="3"/>
  <c r="H42" i="3"/>
  <c r="I42" i="3"/>
  <c r="F24" i="3"/>
  <c r="G24" i="3"/>
  <c r="H24" i="3"/>
  <c r="I24" i="3"/>
  <c r="F33" i="3"/>
  <c r="G33" i="3"/>
  <c r="H33" i="3"/>
  <c r="I33" i="3"/>
  <c r="M17" i="3"/>
  <c r="F17" i="3" s="1"/>
  <c r="M49" i="3"/>
  <c r="L49" i="3" s="1"/>
  <c r="M42" i="3"/>
  <c r="D42" i="3" s="1"/>
  <c r="M33" i="3"/>
  <c r="K33" i="3" s="1"/>
  <c r="M24" i="3"/>
  <c r="M9" i="3"/>
  <c r="L9" i="3" s="1"/>
  <c r="F10" i="2"/>
  <c r="K53" i="2"/>
  <c r="J53" i="2"/>
  <c r="I53" i="2"/>
  <c r="H53" i="2"/>
  <c r="G53" i="2"/>
  <c r="F53" i="2"/>
  <c r="E53" i="2"/>
  <c r="D53" i="2"/>
  <c r="C53" i="2"/>
  <c r="K46" i="2"/>
  <c r="J46" i="2"/>
  <c r="I46" i="2"/>
  <c r="H46" i="2"/>
  <c r="G46" i="2"/>
  <c r="F46" i="2"/>
  <c r="E46" i="2"/>
  <c r="D46" i="2"/>
  <c r="C46" i="2"/>
  <c r="K37" i="2"/>
  <c r="J37" i="2"/>
  <c r="I37" i="2"/>
  <c r="H37" i="2"/>
  <c r="G37" i="2"/>
  <c r="F37" i="2"/>
  <c r="E37" i="2"/>
  <c r="D37" i="2"/>
  <c r="C37" i="2"/>
  <c r="K28" i="2"/>
  <c r="N28" i="2" s="1"/>
  <c r="G28" i="2"/>
  <c r="F28" i="2"/>
  <c r="K19" i="2"/>
  <c r="C19" i="2" s="1"/>
  <c r="K10" i="2"/>
  <c r="N10" i="2" s="1"/>
  <c r="G23" i="1"/>
  <c r="F23" i="1"/>
  <c r="E23" i="1"/>
  <c r="D23" i="1"/>
  <c r="C23" i="1"/>
  <c r="D10" i="1"/>
  <c r="E10" i="1"/>
  <c r="F10" i="1"/>
  <c r="G10" i="1"/>
  <c r="C10" i="1"/>
  <c r="H22" i="1"/>
  <c r="H9" i="1"/>
  <c r="I17" i="3" l="1"/>
  <c r="H17" i="3"/>
  <c r="G17" i="3"/>
  <c r="I9" i="3"/>
  <c r="G9" i="3"/>
  <c r="H9" i="3"/>
  <c r="F9" i="3"/>
  <c r="K42" i="3"/>
  <c r="E42" i="3"/>
  <c r="J42" i="3"/>
  <c r="L42" i="3"/>
  <c r="L17" i="3"/>
  <c r="K17" i="3"/>
  <c r="J17" i="3"/>
  <c r="E33" i="3"/>
  <c r="L33" i="3"/>
  <c r="D49" i="3"/>
  <c r="E49" i="3"/>
  <c r="J24" i="3"/>
  <c r="K24" i="3"/>
  <c r="C49" i="3"/>
  <c r="L24" i="3"/>
  <c r="J49" i="3"/>
  <c r="C33" i="3"/>
  <c r="D33" i="3"/>
  <c r="C17" i="3"/>
  <c r="E17" i="3"/>
  <c r="P24" i="3"/>
  <c r="D17" i="3"/>
  <c r="J33" i="3"/>
  <c r="P9" i="3"/>
  <c r="C9" i="3"/>
  <c r="J9" i="3"/>
  <c r="E24" i="3"/>
  <c r="K49" i="3"/>
  <c r="E9" i="3"/>
  <c r="D24" i="3"/>
  <c r="K9" i="3"/>
  <c r="C42" i="3"/>
  <c r="D9" i="3"/>
  <c r="C24" i="3"/>
  <c r="H28" i="2"/>
  <c r="I28" i="2"/>
  <c r="J28" i="2"/>
  <c r="C28" i="2"/>
  <c r="D28" i="2"/>
  <c r="E28" i="2"/>
  <c r="C10" i="2"/>
  <c r="J10" i="2"/>
  <c r="I10" i="2"/>
  <c r="H10" i="2"/>
  <c r="G10" i="2"/>
  <c r="E10" i="2"/>
  <c r="D10" i="2"/>
  <c r="D19" i="2"/>
  <c r="E19" i="2"/>
  <c r="F19" i="2"/>
  <c r="G19" i="2"/>
  <c r="H19" i="2"/>
  <c r="I19" i="2"/>
  <c r="J19" i="2"/>
</calcChain>
</file>

<file path=xl/sharedStrings.xml><?xml version="1.0" encoding="utf-8"?>
<sst xmlns="http://schemas.openxmlformats.org/spreadsheetml/2006/main" count="133" uniqueCount="27">
  <si>
    <t>function name</t>
  </si>
  <si>
    <t>average overhead</t>
  </si>
  <si>
    <t>min overhead</t>
  </si>
  <si>
    <t>max overhead</t>
  </si>
  <si>
    <t>est total overhead</t>
  </si>
  <si>
    <t>deadline hit rate</t>
  </si>
  <si>
    <t>total iterations</t>
  </si>
  <si>
    <t>ACTUATE</t>
  </si>
  <si>
    <t>LOCAL_FUSION</t>
  </si>
  <si>
    <t>actuate</t>
  </si>
  <si>
    <t>local_fusion</t>
  </si>
  <si>
    <t>RSU1</t>
  </si>
  <si>
    <t>25 percentile overhead</t>
  </si>
  <si>
    <t>75 percentile overhead</t>
  </si>
  <si>
    <t>median overhead</t>
  </si>
  <si>
    <t>Est total overhead</t>
  </si>
  <si>
    <t>CAV1</t>
  </si>
  <si>
    <t>duration:</t>
  </si>
  <si>
    <t>minutes</t>
  </si>
  <si>
    <t>CAV2</t>
  </si>
  <si>
    <t>RSU</t>
  </si>
  <si>
    <t>Global Fusion</t>
  </si>
  <si>
    <t>Update Vehicles</t>
  </si>
  <si>
    <t>update_vehicles</t>
  </si>
  <si>
    <t>global_fusion</t>
  </si>
  <si>
    <t>5 percentile</t>
  </si>
  <si>
    <t>95 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</si>
</sst>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A557-E521-2543-9FB8-719B2EEA1A00}">
  <dimension ref="A1:O53"/>
  <sheetViews>
    <sheetView workbookViewId="0">
      <selection activeCell="H37" sqref="A1:XFD1048576"/>
    </sheetView>
  </sheetViews>
  <sheetFormatPr baseColWidth="10" defaultRowHeight="16" x14ac:dyDescent="0.2"/>
  <cols>
    <col min="1" max="1" width="24.33203125" bestFit="1" customWidth="1"/>
  </cols>
  <sheetData>
    <row r="1" spans="1:15" x14ac:dyDescent="0.2">
      <c r="B1" t="s">
        <v>0</v>
      </c>
      <c r="C1" t="s">
        <v>1</v>
      </c>
      <c r="D1" t="s">
        <v>2</v>
      </c>
      <c r="E1" t="s">
        <v>3</v>
      </c>
      <c r="F1" t="s">
        <v>12</v>
      </c>
      <c r="G1" t="s">
        <v>13</v>
      </c>
      <c r="H1" t="s">
        <v>14</v>
      </c>
      <c r="I1" t="s">
        <v>15</v>
      </c>
      <c r="J1" t="s">
        <v>5</v>
      </c>
      <c r="K1" t="s">
        <v>6</v>
      </c>
    </row>
    <row r="2" spans="1:15" ht="26" x14ac:dyDescent="0.3">
      <c r="A2" s="3" t="s">
        <v>16</v>
      </c>
    </row>
    <row r="3" spans="1:15" ht="24" x14ac:dyDescent="0.3">
      <c r="A3" s="4" t="s">
        <v>7</v>
      </c>
    </row>
    <row r="4" spans="1:15" x14ac:dyDescent="0.2">
      <c r="B4" t="s">
        <v>9</v>
      </c>
      <c r="C4">
        <v>2.0570205446737298E-3</v>
      </c>
      <c r="D4">
        <v>8.0823898315429601E-4</v>
      </c>
      <c r="E4">
        <v>1.5048503875732399E-2</v>
      </c>
      <c r="F4">
        <v>1.2505054473876901E-3</v>
      </c>
      <c r="G4">
        <v>2.38186120986938E-3</v>
      </c>
      <c r="H4">
        <v>1.59871578216552E-3</v>
      </c>
      <c r="I4">
        <v>2.0570205446737298E-3</v>
      </c>
      <c r="J4">
        <v>0</v>
      </c>
      <c r="K4">
        <v>2872</v>
      </c>
    </row>
    <row r="5" spans="1:15" x14ac:dyDescent="0.2">
      <c r="B5" t="s">
        <v>9</v>
      </c>
      <c r="C5">
        <v>2.2724748047928201E-3</v>
      </c>
      <c r="D5">
        <v>7.89403915405273E-4</v>
      </c>
      <c r="E5">
        <v>3.3123493194580002E-2</v>
      </c>
      <c r="F5">
        <v>1.30963325500488E-3</v>
      </c>
      <c r="G5">
        <v>2.5732517242431602E-3</v>
      </c>
      <c r="H5">
        <v>1.6903877258300701E-3</v>
      </c>
      <c r="I5">
        <v>2.2724748047928201E-3</v>
      </c>
      <c r="J5">
        <v>2.60793972761518E-2</v>
      </c>
      <c r="K5">
        <v>3451</v>
      </c>
    </row>
    <row r="6" spans="1:15" x14ac:dyDescent="0.2">
      <c r="B6" t="s">
        <v>9</v>
      </c>
      <c r="C6">
        <v>2.3363084327883798E-3</v>
      </c>
      <c r="D6">
        <v>7.8248977661132802E-4</v>
      </c>
      <c r="E6">
        <v>2.7887582778930602E-2</v>
      </c>
      <c r="F6">
        <v>1.2822151184082001E-3</v>
      </c>
      <c r="G6">
        <v>2.6740431785583401E-3</v>
      </c>
      <c r="H6">
        <v>1.6829967498779199E-3</v>
      </c>
      <c r="I6">
        <v>2.3363084327883798E-3</v>
      </c>
      <c r="J6">
        <v>2.1868787276341901E-2</v>
      </c>
      <c r="K6">
        <v>2515</v>
      </c>
    </row>
    <row r="7" spans="1:15" x14ac:dyDescent="0.2">
      <c r="B7" t="s">
        <v>9</v>
      </c>
      <c r="C7">
        <v>2.1980544720315701E-3</v>
      </c>
      <c r="D7">
        <v>8.1086158752441395E-4</v>
      </c>
      <c r="E7">
        <v>1.82306766510009E-2</v>
      </c>
      <c r="F7">
        <v>1.2678503990173301E-3</v>
      </c>
      <c r="G7">
        <v>2.6114583015441799E-3</v>
      </c>
      <c r="H7">
        <v>1.5982389450073201E-3</v>
      </c>
      <c r="I7">
        <v>2.1980544720315701E-3</v>
      </c>
      <c r="J7">
        <v>0</v>
      </c>
      <c r="K7">
        <v>554</v>
      </c>
    </row>
    <row r="8" spans="1:15" x14ac:dyDescent="0.2">
      <c r="B8" t="s">
        <v>9</v>
      </c>
      <c r="C8">
        <v>2.3754884311398702E-3</v>
      </c>
      <c r="D8">
        <v>8.5496902465820302E-4</v>
      </c>
      <c r="E8">
        <v>1.4628410339355399E-2</v>
      </c>
      <c r="F8">
        <v>1.2965202331542899E-3</v>
      </c>
      <c r="G8">
        <v>2.7129650115966701E-3</v>
      </c>
      <c r="H8">
        <v>1.6937255859375E-3</v>
      </c>
      <c r="I8">
        <v>2.3754884311398702E-3</v>
      </c>
      <c r="J8">
        <v>0</v>
      </c>
      <c r="K8">
        <v>509</v>
      </c>
    </row>
    <row r="9" spans="1:15" s="2" customFormat="1" x14ac:dyDescent="0.2">
      <c r="B9" s="2" t="s">
        <v>9</v>
      </c>
      <c r="C9" s="2">
        <v>1.98015645289926E-3</v>
      </c>
      <c r="D9" s="2">
        <v>6.9689750671386697E-4</v>
      </c>
      <c r="E9" s="2">
        <v>2.55405902862548E-2</v>
      </c>
      <c r="F9" s="2">
        <v>1.21569633483886E-3</v>
      </c>
      <c r="G9" s="2">
        <v>2.2572875022888101E-3</v>
      </c>
      <c r="H9" s="2">
        <v>1.53005123138427E-3</v>
      </c>
      <c r="I9" s="2">
        <v>1.98015645289926E-3</v>
      </c>
      <c r="J9" s="2">
        <v>0</v>
      </c>
      <c r="K9" s="2">
        <v>4152</v>
      </c>
    </row>
    <row r="10" spans="1:15" x14ac:dyDescent="0.2">
      <c r="C10">
        <f>SUMPRODUCT(C4:C9,$K4:$K9)/$K10</f>
        <v>2.1542976336368863E-3</v>
      </c>
      <c r="D10">
        <f t="shared" ref="D10:J10" si="0">SUMPRODUCT(D4:D9,$K4:$K9)/$K10</f>
        <v>7.6790522029287361E-4</v>
      </c>
      <c r="E10">
        <f t="shared" si="0"/>
        <v>2.4995085421655579E-2</v>
      </c>
      <c r="F10">
        <f>SUMPRODUCT(F4:F9,$K4:$K9)/$K10</f>
        <v>1.2627663938445878E-3</v>
      </c>
      <c r="G10">
        <f t="shared" si="0"/>
        <v>2.4653896312989078E-3</v>
      </c>
      <c r="H10">
        <f t="shared" si="0"/>
        <v>1.6194463819572793E-3</v>
      </c>
      <c r="I10">
        <f t="shared" si="0"/>
        <v>2.1542976336368863E-3</v>
      </c>
      <c r="J10">
        <f t="shared" si="0"/>
        <v>1.0318081548423806E-2</v>
      </c>
      <c r="K10">
        <f>SUM(K4:K9)</f>
        <v>14053</v>
      </c>
      <c r="M10" t="s">
        <v>17</v>
      </c>
      <c r="N10">
        <f>K10/8/60</f>
        <v>29.277083333333334</v>
      </c>
      <c r="O10" t="s">
        <v>18</v>
      </c>
    </row>
    <row r="12" spans="1:15" ht="24" x14ac:dyDescent="0.3">
      <c r="A12" s="4" t="s">
        <v>8</v>
      </c>
    </row>
    <row r="13" spans="1:15" x14ac:dyDescent="0.2">
      <c r="B13" t="s">
        <v>10</v>
      </c>
      <c r="C13">
        <v>2.42724160214404E-3</v>
      </c>
      <c r="D13">
        <v>1.3437271118164E-3</v>
      </c>
      <c r="E13">
        <v>2.58069038391113E-2</v>
      </c>
      <c r="F13">
        <v>1.728355884552E-3</v>
      </c>
      <c r="G13">
        <v>2.37184762954711E-3</v>
      </c>
      <c r="H13">
        <v>1.8829107284545801E-3</v>
      </c>
      <c r="I13">
        <v>7.2817248064321197E-3</v>
      </c>
      <c r="J13">
        <v>0</v>
      </c>
      <c r="K13">
        <v>1716</v>
      </c>
    </row>
    <row r="14" spans="1:15" x14ac:dyDescent="0.2">
      <c r="B14" t="s">
        <v>10</v>
      </c>
      <c r="C14">
        <v>2.51326257932581E-3</v>
      </c>
      <c r="D14">
        <v>1.30963325500488E-3</v>
      </c>
      <c r="E14">
        <v>3.8815021514892502E-2</v>
      </c>
      <c r="F14">
        <v>1.75857543945312E-3</v>
      </c>
      <c r="G14">
        <v>2.6009082794189401E-3</v>
      </c>
      <c r="H14">
        <v>1.9435882568359299E-3</v>
      </c>
      <c r="I14">
        <v>7.5397877379774301E-3</v>
      </c>
      <c r="J14">
        <v>0</v>
      </c>
      <c r="K14">
        <v>1841</v>
      </c>
    </row>
    <row r="15" spans="1:15" x14ac:dyDescent="0.2">
      <c r="B15" t="s">
        <v>10</v>
      </c>
      <c r="C15">
        <v>2.8077371944725199E-3</v>
      </c>
      <c r="D15">
        <v>1.31988525390625E-3</v>
      </c>
      <c r="E15">
        <v>7.86411762237548E-2</v>
      </c>
      <c r="F15">
        <v>1.7638206481933501E-3</v>
      </c>
      <c r="G15">
        <v>2.90799140930175E-3</v>
      </c>
      <c r="H15">
        <v>2.0895004272460898E-3</v>
      </c>
      <c r="I15">
        <v>8.4232115834175798E-3</v>
      </c>
      <c r="J15">
        <v>0</v>
      </c>
      <c r="K15">
        <v>1345</v>
      </c>
    </row>
    <row r="16" spans="1:15" x14ac:dyDescent="0.2">
      <c r="B16" t="s">
        <v>10</v>
      </c>
      <c r="C16">
        <v>2.4019526631644601E-3</v>
      </c>
      <c r="D16">
        <v>1.49035453796386E-3</v>
      </c>
      <c r="E16">
        <v>2.7445793151855399E-2</v>
      </c>
      <c r="F16">
        <v>1.7127394676208401E-3</v>
      </c>
      <c r="G16">
        <v>2.2959709167480399E-3</v>
      </c>
      <c r="H16">
        <v>1.8470287322997999E-3</v>
      </c>
      <c r="I16">
        <v>7.20585798949338E-3</v>
      </c>
      <c r="J16">
        <v>0</v>
      </c>
      <c r="K16">
        <v>356</v>
      </c>
    </row>
    <row r="17" spans="1:15" x14ac:dyDescent="0.2">
      <c r="B17" t="s">
        <v>10</v>
      </c>
      <c r="C17">
        <v>3.3391242663866299E-3</v>
      </c>
      <c r="D17">
        <v>1.4371871948242101E-3</v>
      </c>
      <c r="E17">
        <v>1.6208171844482401E-2</v>
      </c>
      <c r="F17">
        <v>1.88946723937988E-3</v>
      </c>
      <c r="G17">
        <v>3.9463043212890599E-3</v>
      </c>
      <c r="H17">
        <v>2.3894309997558498E-3</v>
      </c>
      <c r="I17">
        <v>1.0017372799159799E-2</v>
      </c>
      <c r="J17">
        <v>0</v>
      </c>
      <c r="K17">
        <v>397</v>
      </c>
    </row>
    <row r="18" spans="1:15" s="2" customFormat="1" x14ac:dyDescent="0.2">
      <c r="B18" s="2" t="s">
        <v>10</v>
      </c>
      <c r="C18" s="2">
        <v>2.1564284978885101E-3</v>
      </c>
      <c r="D18" s="2">
        <v>1.2526512145996001E-3</v>
      </c>
      <c r="E18" s="2">
        <v>1.46052837371826E-2</v>
      </c>
      <c r="F18" s="2">
        <v>1.67107582092285E-3</v>
      </c>
      <c r="G18" s="2">
        <v>2.1119117736816402E-3</v>
      </c>
      <c r="H18" s="2">
        <v>1.7859935760497999E-3</v>
      </c>
      <c r="I18" s="2">
        <v>6.4692854936655502E-3</v>
      </c>
      <c r="J18" s="2">
        <v>0</v>
      </c>
      <c r="K18" s="2">
        <v>2153</v>
      </c>
    </row>
    <row r="19" spans="1:15" x14ac:dyDescent="0.2">
      <c r="C19">
        <f>SUMPRODUCT(C13:C18,$K13:$K18)/$K19</f>
        <v>2.4836049644184847E-3</v>
      </c>
      <c r="D19">
        <f t="shared" ref="D19" si="1">SUMPRODUCT(D13:D18,$K13:$K18)/$K19</f>
        <v>1.3179052010422793E-3</v>
      </c>
      <c r="E19">
        <f t="shared" ref="E19" si="2">SUMPRODUCT(E13:E18,$K13:$K18)/$K19</f>
        <v>3.4473105287942681E-2</v>
      </c>
      <c r="F19">
        <f t="shared" ref="F19" si="3">SUMPRODUCT(F13:F18,$K13:$K18)/$K19</f>
        <v>1.7332754662779469E-3</v>
      </c>
      <c r="G19">
        <f t="shared" ref="G19" si="4">SUMPRODUCT(G13:G18,$K13:$K18)/$K19</f>
        <v>2.5231308441181601E-3</v>
      </c>
      <c r="H19">
        <f t="shared" ref="H19" si="5">SUMPRODUCT(H13:H18,$K13:$K18)/$K19</f>
        <v>1.9301984337021026E-3</v>
      </c>
      <c r="I19">
        <f t="shared" ref="I19" si="6">SUMPRODUCT(I13:I18,$K13:$K18)/$K19</f>
        <v>7.4508148932554584E-3</v>
      </c>
      <c r="J19">
        <f t="shared" ref="J19" si="7">SUMPRODUCT(J13:J18,$K13:$K18)/$K19</f>
        <v>0</v>
      </c>
      <c r="K19">
        <f>SUM(K13:K18)</f>
        <v>7808</v>
      </c>
    </row>
    <row r="21" spans="1:15" s="5" customFormat="1" ht="17" thickBot="1" x14ac:dyDescent="0.25"/>
    <row r="22" spans="1:15" ht="26" x14ac:dyDescent="0.3">
      <c r="A22" s="3" t="s">
        <v>19</v>
      </c>
    </row>
    <row r="23" spans="1:15" ht="24" x14ac:dyDescent="0.3">
      <c r="A23" s="4" t="s">
        <v>7</v>
      </c>
    </row>
    <row r="24" spans="1:15" x14ac:dyDescent="0.2">
      <c r="B24" t="s">
        <v>9</v>
      </c>
      <c r="C24">
        <v>1.9642221516576299E-3</v>
      </c>
      <c r="D24">
        <v>7.1215629577636697E-4</v>
      </c>
      <c r="E24">
        <v>1.6511678695678701E-2</v>
      </c>
      <c r="F24">
        <v>1.18613243103027E-3</v>
      </c>
      <c r="G24">
        <v>2.21490859985351E-3</v>
      </c>
      <c r="H24">
        <v>1.4808177947997999E-3</v>
      </c>
      <c r="I24">
        <v>1.9642221516576299E-3</v>
      </c>
      <c r="J24">
        <v>5.5519268451992097E-3</v>
      </c>
      <c r="K24">
        <v>3062</v>
      </c>
    </row>
    <row r="25" spans="1:15" x14ac:dyDescent="0.2">
      <c r="B25" t="s">
        <v>9</v>
      </c>
      <c r="C25">
        <v>1.93161441240938E-3</v>
      </c>
      <c r="D25">
        <v>7.85589218139648E-4</v>
      </c>
      <c r="E25">
        <v>1.63564682006835E-2</v>
      </c>
      <c r="F25">
        <v>1.20139122009277E-3</v>
      </c>
      <c r="G25">
        <v>2.2485256195068299E-3</v>
      </c>
      <c r="H25">
        <v>1.5146732330322201E-3</v>
      </c>
      <c r="I25">
        <v>1.93161441240938E-3</v>
      </c>
      <c r="J25">
        <v>0</v>
      </c>
      <c r="K25">
        <v>4786</v>
      </c>
    </row>
    <row r="26" spans="1:15" x14ac:dyDescent="0.2">
      <c r="B26" t="s">
        <v>9</v>
      </c>
      <c r="C26">
        <v>1.99006833222515E-3</v>
      </c>
      <c r="D26">
        <v>7.1239471435546799E-4</v>
      </c>
      <c r="E26">
        <v>2.65882015228271E-2</v>
      </c>
      <c r="F26">
        <v>1.1918544769287101E-3</v>
      </c>
      <c r="G26">
        <v>2.2673010826110801E-3</v>
      </c>
      <c r="H26">
        <v>1.50740146636962E-3</v>
      </c>
      <c r="I26">
        <v>1.99006833222515E-3</v>
      </c>
      <c r="J26">
        <v>1.8223234624145698E-2</v>
      </c>
      <c r="K26">
        <v>7024</v>
      </c>
    </row>
    <row r="27" spans="1:15" x14ac:dyDescent="0.2">
      <c r="B27" t="s">
        <v>9</v>
      </c>
      <c r="C27">
        <v>1.98015645289926E-3</v>
      </c>
      <c r="D27">
        <v>6.9689750671386697E-4</v>
      </c>
      <c r="E27">
        <v>2.55405902862548E-2</v>
      </c>
      <c r="F27">
        <v>1.21569633483886E-3</v>
      </c>
      <c r="G27">
        <v>2.2572875022888101E-3</v>
      </c>
      <c r="H27">
        <v>1.53005123138427E-3</v>
      </c>
      <c r="I27">
        <v>1.98015645289926E-3</v>
      </c>
      <c r="J27">
        <v>0</v>
      </c>
      <c r="K27">
        <v>4152</v>
      </c>
    </row>
    <row r="28" spans="1:15" x14ac:dyDescent="0.2">
      <c r="C28">
        <f>SUMPRODUCT(C22:C27,$K22:$K27)/$K28</f>
        <v>1.9690393378970846E-3</v>
      </c>
      <c r="D28">
        <f t="shared" ref="D28" si="8">SUMPRODUCT(D22:D27,$K22:$K27)/$K28</f>
        <v>7.2738811486503234E-4</v>
      </c>
      <c r="E28">
        <f t="shared" ref="E28" si="9">SUMPRODUCT(E22:E27,$K22:$K27)/$K28</f>
        <v>2.2163628855104443E-2</v>
      </c>
      <c r="F28">
        <f t="shared" ref="F28" si="10">SUMPRODUCT(F22:F27,$K22:$K27)/$K28</f>
        <v>1.198536212751098E-3</v>
      </c>
      <c r="G28">
        <f t="shared" ref="G28" si="11">SUMPRODUCT(G22:G27,$K22:$K27)/$K28</f>
        <v>2.2519593282944966E-3</v>
      </c>
      <c r="H28">
        <f t="shared" ref="H28" si="12">SUMPRODUCT(H22:H27,$K22:$K27)/$K28</f>
        <v>1.509895436998365E-3</v>
      </c>
      <c r="I28">
        <f t="shared" ref="I28" si="13">SUMPRODUCT(I22:I27,$K22:$K27)/$K28</f>
        <v>1.9690393378970846E-3</v>
      </c>
      <c r="J28">
        <f t="shared" ref="J28" si="14">SUMPRODUCT(J22:J27,$K22:$K27)/$K28</f>
        <v>7.621951219512162E-3</v>
      </c>
      <c r="K28">
        <f>SUM(K22:K27)</f>
        <v>19024</v>
      </c>
      <c r="M28" t="s">
        <v>17</v>
      </c>
      <c r="N28">
        <f>K28/8/60</f>
        <v>39.633333333333333</v>
      </c>
      <c r="O28" t="s">
        <v>18</v>
      </c>
    </row>
    <row r="29" spans="1:15" x14ac:dyDescent="0.2">
      <c r="A29" s="2"/>
    </row>
    <row r="32" spans="1:15" ht="24" x14ac:dyDescent="0.3">
      <c r="A32" s="4" t="s">
        <v>8</v>
      </c>
    </row>
    <row r="33" spans="1:11" x14ac:dyDescent="0.2">
      <c r="B33" t="s">
        <v>10</v>
      </c>
      <c r="C33">
        <v>2.3288178717953E-3</v>
      </c>
      <c r="D33">
        <v>1.33347511291503E-3</v>
      </c>
      <c r="E33">
        <v>2.0544767379760701E-2</v>
      </c>
      <c r="F33">
        <v>1.66702270507812E-3</v>
      </c>
      <c r="G33">
        <v>2.2456645965576098E-3</v>
      </c>
      <c r="H33">
        <v>1.7969608306884701E-3</v>
      </c>
      <c r="I33">
        <v>6.9864536153859099E-3</v>
      </c>
      <c r="J33">
        <v>0</v>
      </c>
      <c r="K33">
        <v>1653</v>
      </c>
    </row>
    <row r="34" spans="1:11" x14ac:dyDescent="0.2">
      <c r="B34" t="s">
        <v>10</v>
      </c>
      <c r="C34">
        <v>2.1756264016737701E-3</v>
      </c>
      <c r="D34">
        <v>1.2686252593994099E-3</v>
      </c>
      <c r="E34">
        <v>4.53817844390869E-2</v>
      </c>
      <c r="F34">
        <v>1.67179107666015E-3</v>
      </c>
      <c r="G34">
        <v>2.1243095397949201E-3</v>
      </c>
      <c r="H34">
        <v>1.7852783203125E-3</v>
      </c>
      <c r="I34">
        <v>6.5268792050213204E-3</v>
      </c>
      <c r="J34">
        <v>0</v>
      </c>
      <c r="K34">
        <v>2809</v>
      </c>
    </row>
    <row r="35" spans="1:11" x14ac:dyDescent="0.2">
      <c r="B35" t="s">
        <v>10</v>
      </c>
      <c r="C35">
        <v>2.1855963528902502E-3</v>
      </c>
      <c r="D35">
        <v>1.3775825500488201E-3</v>
      </c>
      <c r="E35">
        <v>1.5755414962768499E-2</v>
      </c>
      <c r="F35">
        <v>1.65939331054687E-3</v>
      </c>
      <c r="G35">
        <v>2.1548867225646899E-3</v>
      </c>
      <c r="H35">
        <v>1.7787218093872001E-3</v>
      </c>
      <c r="I35">
        <v>6.5567890586707596E-3</v>
      </c>
      <c r="J35">
        <v>0</v>
      </c>
      <c r="K35">
        <v>3674</v>
      </c>
    </row>
    <row r="36" spans="1:11" x14ac:dyDescent="0.2">
      <c r="B36" t="s">
        <v>10</v>
      </c>
      <c r="C36">
        <v>2.1564284978885101E-3</v>
      </c>
      <c r="D36">
        <v>1.2526512145996001E-3</v>
      </c>
      <c r="E36">
        <v>1.46052837371826E-2</v>
      </c>
      <c r="F36">
        <v>1.67107582092285E-3</v>
      </c>
      <c r="G36">
        <v>2.1119117736816402E-3</v>
      </c>
      <c r="H36">
        <v>1.7859935760497999E-3</v>
      </c>
      <c r="I36">
        <v>6.4692854936655502E-3</v>
      </c>
      <c r="J36">
        <v>0</v>
      </c>
      <c r="K36">
        <v>2153</v>
      </c>
    </row>
    <row r="37" spans="1:11" x14ac:dyDescent="0.2">
      <c r="C37">
        <f>SUMPRODUCT(C31:C36,$K31:$K36)/$K37</f>
        <v>2.199780548241033E-3</v>
      </c>
      <c r="D37">
        <f t="shared" ref="D37" si="15">SUMPRODUCT(D31:D36,$K31:$K36)/$K37</f>
        <v>1.3146077431445029E-3</v>
      </c>
      <c r="E37">
        <f t="shared" ref="E37" si="16">SUMPRODUCT(E31:E36,$K31:$K36)/$K37</f>
        <v>2.4372485511469061E-2</v>
      </c>
      <c r="F37">
        <f t="shared" ref="F37" si="17">SUMPRODUCT(F31:F36,$K31:$K36)/$K37</f>
        <v>1.6664483362064911E-3</v>
      </c>
      <c r="G37">
        <f t="shared" ref="G37" si="18">SUMPRODUCT(G31:G36,$K31:$K36)/$K37</f>
        <v>2.1521303278095932E-3</v>
      </c>
      <c r="H37">
        <f t="shared" ref="H37" si="19">SUMPRODUCT(H31:H36,$K31:$K36)/$K37</f>
        <v>1.7849636652550924E-3</v>
      </c>
      <c r="I37">
        <f t="shared" ref="I37" si="20">SUMPRODUCT(I31:I36,$K31:$K36)/$K37</f>
        <v>6.5993416447231116E-3</v>
      </c>
      <c r="J37">
        <f t="shared" ref="J37" si="21">SUMPRODUCT(J31:J36,$K31:$K36)/$K37</f>
        <v>0</v>
      </c>
      <c r="K37">
        <f>SUM(K31:K36)</f>
        <v>10289</v>
      </c>
    </row>
    <row r="38" spans="1:11" x14ac:dyDescent="0.2">
      <c r="A38" s="2"/>
    </row>
    <row r="40" spans="1:11" s="5" customFormat="1" ht="17" thickBot="1" x14ac:dyDescent="0.25"/>
    <row r="41" spans="1:11" ht="31" x14ac:dyDescent="0.35">
      <c r="A41" s="6" t="s">
        <v>20</v>
      </c>
    </row>
    <row r="43" spans="1:11" ht="26" x14ac:dyDescent="0.3">
      <c r="A43" s="7" t="s">
        <v>22</v>
      </c>
    </row>
    <row r="44" spans="1:11" x14ac:dyDescent="0.2">
      <c r="B44" t="s">
        <v>23</v>
      </c>
      <c r="C44">
        <v>1.88109487887249E-3</v>
      </c>
      <c r="D44">
        <v>0</v>
      </c>
      <c r="E44">
        <v>1.9016265869140601E-2</v>
      </c>
      <c r="F44">
        <v>1.00064277648925E-3</v>
      </c>
      <c r="G44">
        <v>2.0017623901367101E-3</v>
      </c>
      <c r="H44">
        <v>1.00207328796386E-3</v>
      </c>
      <c r="I44">
        <v>7.5243795154899904E-3</v>
      </c>
      <c r="J44">
        <v>0</v>
      </c>
      <c r="K44">
        <v>3020</v>
      </c>
    </row>
    <row r="45" spans="1:11" x14ac:dyDescent="0.2">
      <c r="B45" t="s">
        <v>23</v>
      </c>
      <c r="C45">
        <v>1.6592504129348299E-3</v>
      </c>
      <c r="D45">
        <v>0</v>
      </c>
      <c r="E45">
        <v>9.2061519622802707E-2</v>
      </c>
      <c r="F45">
        <v>1.00064277648925E-3</v>
      </c>
      <c r="G45">
        <v>2.00128555297851E-3</v>
      </c>
      <c r="H45">
        <v>1.0008811950683501E-3</v>
      </c>
      <c r="I45">
        <v>6.63700165173935E-3</v>
      </c>
      <c r="J45">
        <v>0</v>
      </c>
      <c r="K45">
        <v>17404</v>
      </c>
    </row>
    <row r="46" spans="1:11" x14ac:dyDescent="0.2">
      <c r="C46">
        <f>SUMPRODUCT(C40:C45,$K40:$K45)/$K46</f>
        <v>1.6920535018073197E-3</v>
      </c>
      <c r="D46">
        <f t="shared" ref="D46" si="22">SUMPRODUCT(D40:D45,$K40:$K45)/$K46</f>
        <v>0</v>
      </c>
      <c r="E46">
        <f t="shared" ref="E46" si="23">SUMPRODUCT(E40:E45,$K40:$K45)/$K46</f>
        <v>8.1260664435960778E-2</v>
      </c>
      <c r="F46">
        <f t="shared" ref="F46" si="24">SUMPRODUCT(F40:F45,$K40:$K45)/$K46</f>
        <v>1.00064277648925E-3</v>
      </c>
      <c r="G46">
        <f t="shared" ref="G46" si="25">SUMPRODUCT(G40:G45,$K40:$K45)/$K46</f>
        <v>2.0013560606272447E-3</v>
      </c>
      <c r="H46">
        <f t="shared" ref="H46" si="26">SUMPRODUCT(H40:H45,$K40:$K45)/$K46</f>
        <v>1.001057464190189E-3</v>
      </c>
      <c r="I46">
        <f t="shared" ref="I46" si="27">SUMPRODUCT(I40:I45,$K40:$K45)/$K46</f>
        <v>6.768214007229309E-3</v>
      </c>
      <c r="J46">
        <f t="shared" ref="J46" si="28">SUMPRODUCT(J40:J45,$K40:$K45)/$K46</f>
        <v>0</v>
      </c>
      <c r="K46">
        <f>SUM(K40:K45)</f>
        <v>20424</v>
      </c>
    </row>
    <row r="50" spans="1:11" ht="26" x14ac:dyDescent="0.3">
      <c r="A50" s="7" t="s">
        <v>21</v>
      </c>
    </row>
    <row r="51" spans="1:11" x14ac:dyDescent="0.2">
      <c r="B51" t="s">
        <v>24</v>
      </c>
      <c r="C51">
        <v>1.2189051262418099E-3</v>
      </c>
      <c r="D51">
        <v>0</v>
      </c>
      <c r="E51">
        <v>7.0054531097412101E-3</v>
      </c>
      <c r="F51">
        <v>1.0001659393310499E-3</v>
      </c>
      <c r="G51">
        <v>1.00183486938476E-3</v>
      </c>
      <c r="H51">
        <v>1.0008811950683501E-3</v>
      </c>
      <c r="I51">
        <v>3.65671537872543E-3</v>
      </c>
      <c r="J51">
        <v>0.73280943025540202</v>
      </c>
      <c r="K51">
        <v>3054</v>
      </c>
    </row>
    <row r="52" spans="1:11" x14ac:dyDescent="0.2">
      <c r="B52" t="s">
        <v>24</v>
      </c>
      <c r="C52">
        <v>1.2441724175851899E-3</v>
      </c>
      <c r="D52">
        <v>0</v>
      </c>
      <c r="E52">
        <v>2.4017095565795898E-2</v>
      </c>
      <c r="F52">
        <v>1.0001659393310499E-3</v>
      </c>
      <c r="G52">
        <v>1.00207328796386E-3</v>
      </c>
      <c r="H52">
        <v>1.0008811950683501E-3</v>
      </c>
      <c r="I52">
        <v>3.7325172527555798E-3</v>
      </c>
      <c r="J52">
        <v>0.78159072650063099</v>
      </c>
      <c r="K52">
        <v>17426</v>
      </c>
    </row>
    <row r="53" spans="1:11" x14ac:dyDescent="0.2">
      <c r="C53">
        <f>SUMPRODUCT(C47:C52,$K47:$K52)/$K53</f>
        <v>1.2404045314639651E-3</v>
      </c>
      <c r="D53">
        <f t="shared" ref="D53" si="29">SUMPRODUCT(D47:D52,$K47:$K52)/$K53</f>
        <v>0</v>
      </c>
      <c r="E53">
        <f t="shared" ref="E53" si="30">SUMPRODUCT(E47:E52,$K47:$K52)/$K53</f>
        <v>2.1480300836265086E-2</v>
      </c>
      <c r="F53">
        <f t="shared" ref="F53" si="31">SUMPRODUCT(F47:F52,$K47:$K52)/$K53</f>
        <v>1.0001659393310499E-3</v>
      </c>
      <c r="G53">
        <f t="shared" ref="G53" si="32">SUMPRODUCT(G47:G52,$K47:$K52)/$K53</f>
        <v>1.0020377347245743E-3</v>
      </c>
      <c r="H53">
        <f t="shared" ref="H53" si="33">SUMPRODUCT(H47:H52,$K47:$K52)/$K53</f>
        <v>1.0008811950683501E-3</v>
      </c>
      <c r="I53">
        <f t="shared" ref="I53" si="34">SUMPRODUCT(I47:I52,$K47:$K52)/$K53</f>
        <v>3.7212135943919039E-3</v>
      </c>
      <c r="J53">
        <f t="shared" ref="J53" si="35">SUMPRODUCT(J47:J52,$K47:$K52)/$K53</f>
        <v>0.77431640624999976</v>
      </c>
      <c r="K53">
        <f>SUM(K47:K52)</f>
        <v>20480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7BC4-0B30-E04D-B797-2500F7FA5310}">
  <dimension ref="A1:H23"/>
  <sheetViews>
    <sheetView workbookViewId="0">
      <selection activeCell="C10" sqref="C10"/>
    </sheetView>
  </sheetViews>
  <sheetFormatPr baseColWidth="10" defaultRowHeight="16" x14ac:dyDescent="0.2"/>
  <sheetData>
    <row r="1" spans="1:8" x14ac:dyDescent="0.2">
      <c r="A1" t="s">
        <v>11</v>
      </c>
    </row>
    <row r="2" spans="1:8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t="s">
        <v>7</v>
      </c>
      <c r="B3" t="s">
        <v>9</v>
      </c>
      <c r="C3">
        <v>2.2724748047928201E-3</v>
      </c>
      <c r="D3">
        <v>7.89403915405273E-4</v>
      </c>
      <c r="E3">
        <v>3.3123493194580002E-2</v>
      </c>
      <c r="F3">
        <v>2.2724748047928201E-3</v>
      </c>
      <c r="G3">
        <v>2.60793972761518E-2</v>
      </c>
      <c r="H3">
        <v>3451</v>
      </c>
    </row>
    <row r="4" spans="1:8" x14ac:dyDescent="0.2">
      <c r="B4" t="s">
        <v>9</v>
      </c>
      <c r="C4">
        <v>2.3363084327883798E-3</v>
      </c>
      <c r="D4">
        <v>7.8248977661132802E-4</v>
      </c>
      <c r="E4">
        <v>2.7887582778930602E-2</v>
      </c>
      <c r="F4">
        <v>2.3363084327883798E-3</v>
      </c>
      <c r="G4">
        <v>2.1868787276341901E-2</v>
      </c>
      <c r="H4">
        <v>2515</v>
      </c>
    </row>
    <row r="5" spans="1:8" x14ac:dyDescent="0.2">
      <c r="B5" t="s">
        <v>9</v>
      </c>
      <c r="C5" s="1">
        <v>2.1980540000000001E-3</v>
      </c>
      <c r="D5" s="1">
        <v>8.1086199999999998E-4</v>
      </c>
      <c r="E5" s="1">
        <v>1.8230677000000001E-2</v>
      </c>
      <c r="F5" s="1">
        <v>2.1980540000000001E-3</v>
      </c>
      <c r="G5" s="1">
        <v>0</v>
      </c>
      <c r="H5" s="1">
        <v>554</v>
      </c>
    </row>
    <row r="6" spans="1:8" x14ac:dyDescent="0.2">
      <c r="B6" t="s">
        <v>9</v>
      </c>
      <c r="C6">
        <v>2.3754884311398702E-3</v>
      </c>
      <c r="D6">
        <v>8.5496902465820302E-4</v>
      </c>
      <c r="E6">
        <v>1.4628410339355399E-2</v>
      </c>
      <c r="F6">
        <v>2.3754884311398702E-3</v>
      </c>
      <c r="G6">
        <v>0</v>
      </c>
      <c r="H6">
        <v>509</v>
      </c>
    </row>
    <row r="7" spans="1:8" x14ac:dyDescent="0.2">
      <c r="C7">
        <v>1.98015645289926E-3</v>
      </c>
      <c r="D7">
        <v>6.9689750671386697E-4</v>
      </c>
      <c r="E7">
        <v>2.55405902862548E-2</v>
      </c>
      <c r="F7">
        <v>1.98015645289926E-3</v>
      </c>
      <c r="G7">
        <v>0</v>
      </c>
      <c r="H7">
        <v>4152</v>
      </c>
    </row>
    <row r="8" spans="1:8" x14ac:dyDescent="0.2">
      <c r="C8">
        <v>2.0570205446737298E-3</v>
      </c>
      <c r="D8">
        <v>8.0823898315429601E-4</v>
      </c>
      <c r="E8">
        <v>1.5048503875732399E-2</v>
      </c>
      <c r="F8">
        <v>2.0570205446737298E-3</v>
      </c>
      <c r="G8">
        <v>0</v>
      </c>
      <c r="H8">
        <v>2872</v>
      </c>
    </row>
    <row r="9" spans="1:8" x14ac:dyDescent="0.2">
      <c r="H9">
        <f>SUM(H3:H8)</f>
        <v>14053</v>
      </c>
    </row>
    <row r="10" spans="1:8" x14ac:dyDescent="0.2">
      <c r="C10">
        <f>SUMPRODUCT(C3:C8,$H3:$H8)/$H9</f>
        <v>2.1542976150283693E-3</v>
      </c>
      <c r="D10">
        <f t="shared" ref="D10:G10" si="0">SUMPRODUCT(D3:D8,$H3:$H8)/$H9</f>
        <v>7.6790523655356324E-4</v>
      </c>
      <c r="E10">
        <f t="shared" si="0"/>
        <v>2.4995085435413889E-2</v>
      </c>
      <c r="F10">
        <f t="shared" si="0"/>
        <v>2.1542976150283693E-3</v>
      </c>
      <c r="G10">
        <f t="shared" si="0"/>
        <v>1.0318081548423806E-2</v>
      </c>
    </row>
    <row r="16" spans="1:8" x14ac:dyDescent="0.2">
      <c r="A16" t="s">
        <v>8</v>
      </c>
      <c r="B16" t="s">
        <v>10</v>
      </c>
      <c r="C16">
        <v>2.51326257932581E-3</v>
      </c>
      <c r="D16">
        <v>1.30963325500488E-3</v>
      </c>
      <c r="E16">
        <v>3.8815021514892502E-2</v>
      </c>
      <c r="F16">
        <v>7.5397877379774301E-3</v>
      </c>
      <c r="G16">
        <v>0</v>
      </c>
      <c r="H16">
        <v>1841</v>
      </c>
    </row>
    <row r="17" spans="2:8" x14ac:dyDescent="0.2">
      <c r="B17" t="s">
        <v>10</v>
      </c>
      <c r="C17">
        <v>2.8077371944725199E-3</v>
      </c>
      <c r="D17">
        <v>1.31988525390625E-3</v>
      </c>
      <c r="E17">
        <v>7.86411762237548E-2</v>
      </c>
      <c r="F17">
        <v>8.4232115834175798E-3</v>
      </c>
      <c r="G17">
        <v>0</v>
      </c>
      <c r="H17">
        <v>1345</v>
      </c>
    </row>
    <row r="18" spans="2:8" x14ac:dyDescent="0.2">
      <c r="B18" t="s">
        <v>10</v>
      </c>
      <c r="C18">
        <v>2.4019526631644601E-3</v>
      </c>
      <c r="D18">
        <v>1.49035453796386E-3</v>
      </c>
      <c r="E18">
        <v>2.7445793151855399E-2</v>
      </c>
      <c r="F18">
        <v>7.20585798949338E-3</v>
      </c>
      <c r="G18">
        <v>0</v>
      </c>
      <c r="H18">
        <v>356</v>
      </c>
    </row>
    <row r="19" spans="2:8" x14ac:dyDescent="0.2">
      <c r="C19">
        <v>3.3391242663866299E-3</v>
      </c>
      <c r="D19">
        <v>1.4371871948242101E-3</v>
      </c>
      <c r="E19">
        <v>1.6208171844482401E-2</v>
      </c>
      <c r="F19">
        <v>1.0017372799159799E-2</v>
      </c>
      <c r="G19">
        <v>0</v>
      </c>
      <c r="H19">
        <v>397</v>
      </c>
    </row>
    <row r="20" spans="2:8" x14ac:dyDescent="0.2">
      <c r="C20">
        <v>2.1564284978885101E-3</v>
      </c>
      <c r="D20">
        <v>1.2526512145996001E-3</v>
      </c>
      <c r="E20">
        <v>1.46052837371826E-2</v>
      </c>
      <c r="F20">
        <v>6.4692854936655502E-3</v>
      </c>
      <c r="G20">
        <v>0</v>
      </c>
      <c r="H20">
        <v>2153</v>
      </c>
    </row>
    <row r="21" spans="2:8" x14ac:dyDescent="0.2">
      <c r="C21">
        <v>2.42724160214404E-3</v>
      </c>
      <c r="D21">
        <v>1.3437271118164E-3</v>
      </c>
      <c r="E21">
        <v>2.58069038391113E-2</v>
      </c>
      <c r="F21">
        <v>7.2817248064321197E-3</v>
      </c>
      <c r="G21">
        <v>0</v>
      </c>
      <c r="H21">
        <v>1716</v>
      </c>
    </row>
    <row r="22" spans="2:8" x14ac:dyDescent="0.2">
      <c r="H22">
        <f>SUM(H16:H21)</f>
        <v>7808</v>
      </c>
    </row>
    <row r="23" spans="2:8" x14ac:dyDescent="0.2">
      <c r="C23">
        <f>SUMPRODUCT(C16:C21,$H16:$H21)/$H22</f>
        <v>2.4836049644184847E-3</v>
      </c>
      <c r="D23">
        <f t="shared" ref="D23" si="1">SUMPRODUCT(D16:D21,$H16:$H21)/$H22</f>
        <v>1.3179052010422793E-3</v>
      </c>
      <c r="E23">
        <f t="shared" ref="E23" si="2">SUMPRODUCT(E16:E21,$H16:$H21)/$H22</f>
        <v>3.4473105287942687E-2</v>
      </c>
      <c r="F23">
        <f t="shared" ref="F23" si="3">SUMPRODUCT(F16:F21,$H16:$H21)/$H22</f>
        <v>7.4508148932554592E-3</v>
      </c>
      <c r="G23">
        <f t="shared" ref="G23" si="4">SUMPRODUCT(G16:G21,$H16:$H21)/$H22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D583-0845-6F42-AC3D-153FA17AA298}">
  <dimension ref="A1:Q49"/>
  <sheetViews>
    <sheetView tabSelected="1" workbookViewId="0">
      <selection activeCell="I49" sqref="I49"/>
    </sheetView>
  </sheetViews>
  <sheetFormatPr baseColWidth="10" defaultRowHeight="16" x14ac:dyDescent="0.2"/>
  <cols>
    <col min="1" max="1" width="24.33203125" bestFit="1" customWidth="1"/>
  </cols>
  <sheetData>
    <row r="1" spans="1:17" x14ac:dyDescent="0.2">
      <c r="B1" t="s">
        <v>0</v>
      </c>
      <c r="C1" t="s">
        <v>1</v>
      </c>
      <c r="D1" t="s">
        <v>2</v>
      </c>
      <c r="E1" t="s">
        <v>3</v>
      </c>
      <c r="F1" t="s">
        <v>25</v>
      </c>
      <c r="G1" t="s">
        <v>12</v>
      </c>
      <c r="H1" t="s">
        <v>13</v>
      </c>
      <c r="I1" t="s">
        <v>26</v>
      </c>
      <c r="J1" t="s">
        <v>14</v>
      </c>
      <c r="K1" t="s">
        <v>15</v>
      </c>
      <c r="L1" t="s">
        <v>5</v>
      </c>
      <c r="M1" t="s">
        <v>6</v>
      </c>
    </row>
    <row r="2" spans="1:17" ht="26" x14ac:dyDescent="0.3">
      <c r="A2" s="3" t="s">
        <v>16</v>
      </c>
    </row>
    <row r="3" spans="1:17" ht="24" x14ac:dyDescent="0.3">
      <c r="A3" s="4" t="s">
        <v>7</v>
      </c>
    </row>
    <row r="4" spans="1:17" x14ac:dyDescent="0.2">
      <c r="B4" t="s">
        <v>9</v>
      </c>
      <c r="C4">
        <v>2.0570205446737298E-3</v>
      </c>
      <c r="D4">
        <v>8.0823898315429601E-4</v>
      </c>
      <c r="E4">
        <v>1.5048503875732399E-2</v>
      </c>
      <c r="F4">
        <v>9.8217725753784097E-4</v>
      </c>
      <c r="G4">
        <v>1.2505054473876901E-3</v>
      </c>
      <c r="H4">
        <v>2.38186120986938E-3</v>
      </c>
      <c r="I4">
        <v>4.67950105667114E-3</v>
      </c>
      <c r="J4">
        <v>1.59871578216552E-3</v>
      </c>
      <c r="K4">
        <v>2.0570205446737298E-3</v>
      </c>
      <c r="L4">
        <v>0</v>
      </c>
      <c r="M4">
        <v>2872</v>
      </c>
    </row>
    <row r="5" spans="1:17" x14ac:dyDescent="0.2">
      <c r="B5" t="s">
        <v>9</v>
      </c>
      <c r="C5">
        <v>2.3363084327883798E-3</v>
      </c>
      <c r="D5">
        <v>7.8248977661132802E-4</v>
      </c>
      <c r="E5">
        <v>2.7887582778930602E-2</v>
      </c>
      <c r="F5">
        <v>9.8227262496948194E-4</v>
      </c>
      <c r="G5">
        <v>1.2822151184082001E-3</v>
      </c>
      <c r="H5">
        <v>2.6740431785583401E-3</v>
      </c>
      <c r="I5">
        <v>5.5106520652770897E-3</v>
      </c>
      <c r="J5">
        <v>1.6829967498779199E-3</v>
      </c>
      <c r="K5">
        <v>2.3363084327883798E-3</v>
      </c>
      <c r="L5">
        <v>2.1868787276341901E-2</v>
      </c>
      <c r="M5">
        <v>2515</v>
      </c>
    </row>
    <row r="6" spans="1:17" x14ac:dyDescent="0.2">
      <c r="B6" t="s">
        <v>9</v>
      </c>
      <c r="C6">
        <v>2.1980544720315701E-3</v>
      </c>
      <c r="D6">
        <v>8.1086158752441395E-4</v>
      </c>
      <c r="E6">
        <v>1.82306766510009E-2</v>
      </c>
      <c r="F6">
        <v>9.7845792770385694E-4</v>
      </c>
      <c r="G6">
        <v>1.2678503990173301E-3</v>
      </c>
      <c r="H6">
        <v>2.6114583015441799E-3</v>
      </c>
      <c r="I6">
        <v>4.8954367637634201E-3</v>
      </c>
      <c r="J6">
        <v>1.5982389450073201E-3</v>
      </c>
      <c r="K6">
        <v>2.1980544720315701E-3</v>
      </c>
      <c r="L6">
        <v>0</v>
      </c>
      <c r="M6">
        <v>554</v>
      </c>
    </row>
    <row r="7" spans="1:17" x14ac:dyDescent="0.2">
      <c r="B7" t="s">
        <v>9</v>
      </c>
      <c r="C7">
        <v>2.3754884311398702E-3</v>
      </c>
      <c r="D7">
        <v>8.5496902465820302E-4</v>
      </c>
      <c r="E7">
        <v>1.4628410339355399E-2</v>
      </c>
      <c r="F7">
        <v>1.05347633361816E-3</v>
      </c>
      <c r="G7">
        <v>1.2965202331542899E-3</v>
      </c>
      <c r="H7">
        <v>2.7129650115966701E-3</v>
      </c>
      <c r="I7">
        <v>5.7548046112060498E-3</v>
      </c>
      <c r="J7">
        <v>1.6937255859375E-3</v>
      </c>
      <c r="K7">
        <v>2.3754884311398702E-3</v>
      </c>
      <c r="L7">
        <v>0</v>
      </c>
      <c r="M7">
        <v>509</v>
      </c>
    </row>
    <row r="8" spans="1:17" x14ac:dyDescent="0.2">
      <c r="B8" t="s">
        <v>9</v>
      </c>
      <c r="C8">
        <v>1.98015645289926E-3</v>
      </c>
      <c r="D8">
        <v>6.9689750671386697E-4</v>
      </c>
      <c r="E8">
        <v>2.55405902862548E-2</v>
      </c>
      <c r="F8">
        <v>9.7600221633911102E-4</v>
      </c>
      <c r="G8">
        <v>1.21569633483886E-3</v>
      </c>
      <c r="H8">
        <v>2.2572875022888101E-3</v>
      </c>
      <c r="I8">
        <v>4.5064449310302703E-3</v>
      </c>
      <c r="J8">
        <v>1.53005123138427E-3</v>
      </c>
      <c r="K8">
        <v>1.98015645289926E-3</v>
      </c>
      <c r="L8">
        <v>0</v>
      </c>
      <c r="M8">
        <v>4152</v>
      </c>
    </row>
    <row r="9" spans="1:17" x14ac:dyDescent="0.2">
      <c r="C9">
        <f>SUMPRODUCT(C4:C8,$M4:$M8)/$M9</f>
        <v>2.1158304182379872E-3</v>
      </c>
      <c r="D9">
        <f>SUMPRODUCT(D4:D8,$M4:$M8)/$M9</f>
        <v>7.6090729567177462E-4</v>
      </c>
      <c r="E9">
        <f>SUMPRODUCT(E4:E8,$M4:$M8)/$M9</f>
        <v>2.2349251123941732E-2</v>
      </c>
      <c r="F9">
        <f t="shared" ref="F9:I9" si="0">SUMPRODUCT(F4:F8,$M4:$M8)/$M9</f>
        <v>9.8301028894986738E-4</v>
      </c>
      <c r="G9">
        <f t="shared" si="0"/>
        <v>1.2475110139290842E-3</v>
      </c>
      <c r="H9">
        <f t="shared" si="0"/>
        <v>2.4302800215318249E-3</v>
      </c>
      <c r="I9">
        <f t="shared" si="0"/>
        <v>4.8718019097149495E-3</v>
      </c>
      <c r="J9">
        <f>SUMPRODUCT(J4:J8,$M4:$M8)/$M9</f>
        <v>1.5963546466521482E-3</v>
      </c>
      <c r="K9">
        <f>SUMPRODUCT(K4:K8,$M4:$M8)/$M9</f>
        <v>2.1158304182379872E-3</v>
      </c>
      <c r="L9">
        <f>SUMPRODUCT(L4:L8,$M4:$M8)/$M9</f>
        <v>5.1877004338803882E-3</v>
      </c>
      <c r="M9">
        <f>SUM(M4:M8)</f>
        <v>10602</v>
      </c>
      <c r="O9" t="s">
        <v>17</v>
      </c>
      <c r="P9">
        <f>M9/8/60</f>
        <v>22.087499999999999</v>
      </c>
      <c r="Q9" t="s">
        <v>18</v>
      </c>
    </row>
    <row r="11" spans="1:17" ht="24" x14ac:dyDescent="0.3">
      <c r="A11" s="4" t="s">
        <v>8</v>
      </c>
    </row>
    <row r="12" spans="1:17" x14ac:dyDescent="0.2">
      <c r="B12" t="s">
        <v>10</v>
      </c>
      <c r="C12">
        <v>2.42724160214404E-3</v>
      </c>
      <c r="D12">
        <v>1.3437271118164E-3</v>
      </c>
      <c r="E12">
        <v>2.58069038391113E-2</v>
      </c>
      <c r="F12">
        <v>1.60574913024902E-3</v>
      </c>
      <c r="G12">
        <v>1.728355884552E-3</v>
      </c>
      <c r="H12">
        <v>2.37184762954711E-3</v>
      </c>
      <c r="I12">
        <v>5.1783323287963798E-3</v>
      </c>
      <c r="J12">
        <v>1.8829107284545801E-3</v>
      </c>
      <c r="K12">
        <v>7.2817248064321197E-3</v>
      </c>
      <c r="L12">
        <v>0</v>
      </c>
      <c r="M12">
        <v>1716</v>
      </c>
    </row>
    <row r="13" spans="1:17" x14ac:dyDescent="0.2">
      <c r="B13" t="s">
        <v>10</v>
      </c>
      <c r="C13">
        <v>2.8077371944725199E-3</v>
      </c>
      <c r="D13">
        <v>1.31988525390625E-3</v>
      </c>
      <c r="E13">
        <v>7.86411762237548E-2</v>
      </c>
      <c r="F13">
        <v>1.6060829162597599E-3</v>
      </c>
      <c r="G13">
        <v>1.7638206481933501E-3</v>
      </c>
      <c r="H13">
        <v>2.90799140930175E-3</v>
      </c>
      <c r="I13">
        <v>6.1685562133789E-3</v>
      </c>
      <c r="J13">
        <v>2.0895004272460898E-3</v>
      </c>
      <c r="K13">
        <v>8.4232115834175798E-3</v>
      </c>
      <c r="L13">
        <v>0</v>
      </c>
      <c r="M13">
        <v>1345</v>
      </c>
    </row>
    <row r="14" spans="1:17" x14ac:dyDescent="0.2">
      <c r="B14" t="s">
        <v>10</v>
      </c>
      <c r="C14">
        <v>2.4019526631644601E-3</v>
      </c>
      <c r="D14">
        <v>1.49035453796386E-3</v>
      </c>
      <c r="E14">
        <v>2.7445793151855399E-2</v>
      </c>
      <c r="F14">
        <v>1.6237497329711901E-3</v>
      </c>
      <c r="G14">
        <v>1.7127394676208401E-3</v>
      </c>
      <c r="H14">
        <v>2.2959709167480399E-3</v>
      </c>
      <c r="I14">
        <v>5.4470896720886196E-3</v>
      </c>
      <c r="J14">
        <v>1.8470287322997999E-3</v>
      </c>
      <c r="K14">
        <v>7.20585798949338E-3</v>
      </c>
      <c r="L14">
        <v>0</v>
      </c>
      <c r="M14">
        <v>356</v>
      </c>
    </row>
    <row r="15" spans="1:17" x14ac:dyDescent="0.2">
      <c r="B15" t="s">
        <v>10</v>
      </c>
      <c r="C15">
        <v>3.3391242663866299E-3</v>
      </c>
      <c r="D15">
        <v>1.4371871948242101E-3</v>
      </c>
      <c r="E15">
        <v>1.6208171844482401E-2</v>
      </c>
      <c r="F15">
        <v>1.6745567321777299E-3</v>
      </c>
      <c r="G15">
        <v>1.88946723937988E-3</v>
      </c>
      <c r="H15">
        <v>3.9463043212890599E-3</v>
      </c>
      <c r="I15">
        <v>7.7404022216796802E-3</v>
      </c>
      <c r="J15">
        <v>2.3894309997558498E-3</v>
      </c>
      <c r="K15">
        <v>1.0017372799159799E-2</v>
      </c>
      <c r="L15">
        <v>0</v>
      </c>
      <c r="M15">
        <v>397</v>
      </c>
    </row>
    <row r="16" spans="1:17" x14ac:dyDescent="0.2">
      <c r="B16" t="s">
        <v>10</v>
      </c>
      <c r="C16">
        <v>2.1564284978885101E-3</v>
      </c>
      <c r="D16">
        <v>1.2526512145996001E-3</v>
      </c>
      <c r="E16">
        <v>1.46052837371826E-2</v>
      </c>
      <c r="F16">
        <v>1.58023834228515E-3</v>
      </c>
      <c r="G16">
        <v>1.67107582092285E-3</v>
      </c>
      <c r="H16">
        <v>2.1119117736816402E-3</v>
      </c>
      <c r="I16">
        <v>4.2533397674560502E-3</v>
      </c>
      <c r="J16">
        <v>1.7859935760497999E-3</v>
      </c>
      <c r="K16">
        <v>6.4692854936655502E-3</v>
      </c>
      <c r="L16">
        <v>0</v>
      </c>
      <c r="M16">
        <v>2153</v>
      </c>
    </row>
    <row r="17" spans="1:17" x14ac:dyDescent="0.2">
      <c r="C17">
        <f>SUMPRODUCT(C12:C16,$M12:$M16)/$M17</f>
        <v>2.4744546930854225E-3</v>
      </c>
      <c r="D17">
        <f>SUMPRODUCT(D12:D16,$M12:$M16)/$M17</f>
        <v>1.3204573466187586E-3</v>
      </c>
      <c r="E17">
        <f>SUMPRODUCT(E12:E16,$M12:$M16)/$M17</f>
        <v>3.3133492790236196E-2</v>
      </c>
      <c r="F17">
        <f t="shared" ref="F17:I17" si="1">SUMPRODUCT(F12:F16,$M12:$M16)/$M17</f>
        <v>1.6022715113841002E-3</v>
      </c>
      <c r="G17">
        <f t="shared" si="1"/>
        <v>1.7254696592366376E-3</v>
      </c>
      <c r="H17">
        <f t="shared" si="1"/>
        <v>2.4991341525832616E-3</v>
      </c>
      <c r="I17">
        <f t="shared" si="1"/>
        <v>5.2542769411450425E-3</v>
      </c>
      <c r="J17">
        <f>SUMPRODUCT(J12:J16,$M12:$M16)/$M17</f>
        <v>1.9260672682270942E-3</v>
      </c>
      <c r="K17">
        <f>SUMPRODUCT(K12:K16,$M12:$M16)/$M17</f>
        <v>7.4233640792562726E-3</v>
      </c>
      <c r="L17">
        <f>SUMPRODUCT(L12:L16,$M12:$M16)/$M17</f>
        <v>0</v>
      </c>
      <c r="M17">
        <f>SUM(M12:M16)</f>
        <v>5967</v>
      </c>
    </row>
    <row r="18" spans="1:17" s="5" customFormat="1" ht="17" customHeight="1" thickBot="1" x14ac:dyDescent="0.25"/>
    <row r="19" spans="1:17" ht="26" x14ac:dyDescent="0.3">
      <c r="A19" s="3" t="s">
        <v>19</v>
      </c>
      <c r="B19" t="s">
        <v>0</v>
      </c>
      <c r="C19" t="s">
        <v>1</v>
      </c>
      <c r="D19" t="s">
        <v>2</v>
      </c>
      <c r="E19" t="s">
        <v>3</v>
      </c>
      <c r="F19" t="s">
        <v>25</v>
      </c>
      <c r="G19" t="s">
        <v>12</v>
      </c>
      <c r="H19" t="s">
        <v>13</v>
      </c>
      <c r="I19" t="s">
        <v>26</v>
      </c>
      <c r="J19" t="s">
        <v>14</v>
      </c>
      <c r="K19" t="s">
        <v>15</v>
      </c>
      <c r="L19" t="s">
        <v>5</v>
      </c>
      <c r="M19" t="s">
        <v>6</v>
      </c>
    </row>
    <row r="20" spans="1:17" ht="24" x14ac:dyDescent="0.3">
      <c r="A20" s="4" t="s">
        <v>7</v>
      </c>
    </row>
    <row r="21" spans="1:17" x14ac:dyDescent="0.2">
      <c r="B21" t="s">
        <v>9</v>
      </c>
      <c r="C21">
        <v>1.99006833222515E-3</v>
      </c>
      <c r="D21">
        <v>7.1239471435546799E-4</v>
      </c>
      <c r="E21">
        <v>2.65882015228271E-2</v>
      </c>
      <c r="F21">
        <v>9.5379352569580002E-4</v>
      </c>
      <c r="G21">
        <v>1.1918544769287101E-3</v>
      </c>
      <c r="H21">
        <v>2.2673010826110801E-3</v>
      </c>
      <c r="I21">
        <v>4.6675205230712804E-3</v>
      </c>
      <c r="J21">
        <v>1.50740146636962E-3</v>
      </c>
      <c r="K21">
        <v>1.99006833222515E-3</v>
      </c>
      <c r="L21">
        <v>1.8223234624145698E-2</v>
      </c>
      <c r="M21">
        <v>7024</v>
      </c>
    </row>
    <row r="22" spans="1:17" x14ac:dyDescent="0.2">
      <c r="B22" t="s">
        <v>9</v>
      </c>
      <c r="C22">
        <v>1.93161441240938E-3</v>
      </c>
      <c r="D22">
        <v>7.85589218139648E-4</v>
      </c>
      <c r="E22">
        <v>1.63564682006835E-2</v>
      </c>
      <c r="F22">
        <v>9.6631050109863205E-4</v>
      </c>
      <c r="G22">
        <v>1.20139122009277E-3</v>
      </c>
      <c r="H22">
        <v>2.2485256195068299E-3</v>
      </c>
      <c r="I22">
        <v>4.3498039245605403E-3</v>
      </c>
      <c r="J22">
        <v>1.5146732330322201E-3</v>
      </c>
      <c r="K22">
        <v>1.93161441240938E-3</v>
      </c>
      <c r="L22">
        <v>0</v>
      </c>
      <c r="M22">
        <v>4786</v>
      </c>
    </row>
    <row r="23" spans="1:17" x14ac:dyDescent="0.2">
      <c r="B23" t="s">
        <v>9</v>
      </c>
      <c r="C23">
        <v>1.9642221516576299E-3</v>
      </c>
      <c r="D23">
        <v>7.1215629577636697E-4</v>
      </c>
      <c r="E23">
        <v>1.6511678695678701E-2</v>
      </c>
      <c r="F23">
        <v>9.5710754394531198E-4</v>
      </c>
      <c r="G23">
        <v>1.18613243103027E-3</v>
      </c>
      <c r="H23">
        <v>2.21490859985351E-3</v>
      </c>
      <c r="I23">
        <v>4.5859813690185504E-3</v>
      </c>
      <c r="J23">
        <v>1.4808177947997999E-3</v>
      </c>
      <c r="K23">
        <v>1.9642221516576299E-3</v>
      </c>
      <c r="L23">
        <v>5.5519268451992097E-3</v>
      </c>
      <c r="M23">
        <v>3062</v>
      </c>
    </row>
    <row r="24" spans="1:17" x14ac:dyDescent="0.2">
      <c r="C24">
        <f>SUMPRODUCT(C19:C23,$M19:$M23)/$M24</f>
        <v>1.9659356355376822E-3</v>
      </c>
      <c r="D24">
        <f>SUMPRODUCT(D19:D23,$M19:$M23)/$M24</f>
        <v>7.3590055468776214E-4</v>
      </c>
      <c r="E24">
        <f>SUMPRODUCT(E19:E23,$M19:$M23)/$M24</f>
        <v>2.1220840806278712E-2</v>
      </c>
      <c r="F24">
        <f t="shared" ref="F24:I24" si="2">SUMPRODUCT(F19:F23,$M19:$M23)/$M24</f>
        <v>9.5850397272094522E-4</v>
      </c>
      <c r="G24">
        <f t="shared" si="2"/>
        <v>1.19374540943558E-3</v>
      </c>
      <c r="H24">
        <f t="shared" si="2"/>
        <v>2.2504717961250244E-3</v>
      </c>
      <c r="I24">
        <f t="shared" si="2"/>
        <v>4.5484871361574919E-3</v>
      </c>
      <c r="J24">
        <f>SUMPRODUCT(J19:J23,$M19:$M23)/$M24</f>
        <v>1.5042682948325312E-3</v>
      </c>
      <c r="K24">
        <f>SUMPRODUCT(K19:K23,$M19:$M23)/$M24</f>
        <v>1.9659356355376822E-3</v>
      </c>
      <c r="L24">
        <f>SUMPRODUCT(L19:L23,$M19:$M23)/$M24</f>
        <v>9.7498655190962468E-3</v>
      </c>
      <c r="M24">
        <f>SUM(M19:M23)</f>
        <v>14872</v>
      </c>
      <c r="O24" t="s">
        <v>17</v>
      </c>
      <c r="P24">
        <f>M24/8/60</f>
        <v>30.983333333333334</v>
      </c>
      <c r="Q24" t="s">
        <v>18</v>
      </c>
    </row>
    <row r="25" spans="1:17" x14ac:dyDescent="0.2">
      <c r="A25" s="2"/>
    </row>
    <row r="28" spans="1:17" ht="24" x14ac:dyDescent="0.3">
      <c r="A28" s="4" t="s">
        <v>8</v>
      </c>
    </row>
    <row r="30" spans="1:17" x14ac:dyDescent="0.2">
      <c r="B30" t="s">
        <v>10</v>
      </c>
      <c r="C30">
        <v>2.1855963528902502E-3</v>
      </c>
      <c r="D30">
        <v>1.3775825500488201E-3</v>
      </c>
      <c r="E30">
        <v>1.5755414962768499E-2</v>
      </c>
      <c r="F30">
        <v>1.54749155044555E-3</v>
      </c>
      <c r="G30">
        <v>1.65939331054687E-3</v>
      </c>
      <c r="H30">
        <v>2.1548867225646899E-3</v>
      </c>
      <c r="I30">
        <v>4.4008016586303701E-3</v>
      </c>
      <c r="J30">
        <v>1.7787218093872001E-3</v>
      </c>
      <c r="K30">
        <v>6.5567890586707596E-3</v>
      </c>
      <c r="L30">
        <v>0</v>
      </c>
      <c r="M30">
        <v>3674</v>
      </c>
    </row>
    <row r="31" spans="1:17" x14ac:dyDescent="0.2">
      <c r="B31" t="s">
        <v>10</v>
      </c>
      <c r="C31">
        <v>2.1756264016737701E-3</v>
      </c>
      <c r="D31">
        <v>1.2686252593994099E-3</v>
      </c>
      <c r="E31">
        <v>4.53817844390869E-2</v>
      </c>
      <c r="F31">
        <v>1.5785694122314401E-3</v>
      </c>
      <c r="G31">
        <v>1.67179107666015E-3</v>
      </c>
      <c r="H31">
        <v>2.1243095397949201E-3</v>
      </c>
      <c r="I31">
        <v>4.2979717254638602E-3</v>
      </c>
      <c r="J31">
        <v>1.7852783203125E-3</v>
      </c>
      <c r="K31">
        <v>6.5268792050213204E-3</v>
      </c>
      <c r="L31">
        <v>0</v>
      </c>
      <c r="M31">
        <v>2809</v>
      </c>
    </row>
    <row r="32" spans="1:17" x14ac:dyDescent="0.2">
      <c r="B32" t="s">
        <v>10</v>
      </c>
      <c r="C32">
        <v>2.3288178717953E-3</v>
      </c>
      <c r="D32">
        <v>1.33347511291503E-3</v>
      </c>
      <c r="E32">
        <v>2.0544767379760701E-2</v>
      </c>
      <c r="F32">
        <v>1.5462875366210899E-3</v>
      </c>
      <c r="G32">
        <v>1.66702270507812E-3</v>
      </c>
      <c r="H32">
        <v>2.2456645965576098E-3</v>
      </c>
      <c r="I32">
        <v>4.9411773681640597E-3</v>
      </c>
      <c r="J32">
        <v>1.7969608306884701E-3</v>
      </c>
      <c r="K32">
        <v>6.9864536153859099E-3</v>
      </c>
      <c r="L32">
        <v>0</v>
      </c>
      <c r="M32">
        <v>1653</v>
      </c>
    </row>
    <row r="33" spans="1:13" x14ac:dyDescent="0.2">
      <c r="C33">
        <f>SUMPRODUCT(C27:C32,$M27:$M32)/$M33</f>
        <v>2.2112526431782237E-3</v>
      </c>
      <c r="D33">
        <f>SUMPRODUCT(D27:D32,$M27:$M32)/$M33</f>
        <v>1.3310030732768992E-3</v>
      </c>
      <c r="E33">
        <f>SUMPRODUCT(E27:E32,$M27:$M32)/$M33</f>
        <v>2.6957144486400072E-2</v>
      </c>
      <c r="F33">
        <f t="shared" ref="F33:I33" si="3">SUMPRODUCT(F27:F32,$M27:$M32)/$M33</f>
        <v>1.5579767371349223E-3</v>
      </c>
      <c r="G33">
        <f t="shared" si="3"/>
        <v>1.6652237818069928E-3</v>
      </c>
      <c r="H33">
        <f t="shared" si="3"/>
        <v>2.1627732170718204E-3</v>
      </c>
      <c r="I33">
        <f t="shared" si="3"/>
        <v>4.4750877655126784E-3</v>
      </c>
      <c r="J33">
        <f>SUMPRODUCT(J27:J32,$M27:$M32)/$M33</f>
        <v>1.7846911237185874E-3</v>
      </c>
      <c r="K33">
        <f>SUMPRODUCT(K27:K32,$M27:$M32)/$M33</f>
        <v>6.6337579295346815E-3</v>
      </c>
      <c r="L33">
        <f>SUMPRODUCT(L27:L32,$M27:$M32)/$M33</f>
        <v>0</v>
      </c>
      <c r="M33">
        <f>SUM(M27:M32)</f>
        <v>8136</v>
      </c>
    </row>
    <row r="34" spans="1:13" x14ac:dyDescent="0.2">
      <c r="A34" s="2"/>
    </row>
    <row r="36" spans="1:13" s="5" customFormat="1" ht="17" thickBot="1" x14ac:dyDescent="0.25"/>
    <row r="37" spans="1:13" ht="31" x14ac:dyDescent="0.35">
      <c r="A37" s="6" t="s">
        <v>20</v>
      </c>
      <c r="B37" t="s">
        <v>0</v>
      </c>
      <c r="C37" t="s">
        <v>1</v>
      </c>
      <c r="D37" t="s">
        <v>2</v>
      </c>
      <c r="E37" t="s">
        <v>3</v>
      </c>
      <c r="F37" t="s">
        <v>25</v>
      </c>
      <c r="G37" t="s">
        <v>12</v>
      </c>
      <c r="H37" t="s">
        <v>13</v>
      </c>
      <c r="I37" t="s">
        <v>26</v>
      </c>
      <c r="J37" t="s">
        <v>14</v>
      </c>
      <c r="K37" t="s">
        <v>15</v>
      </c>
      <c r="L37" t="s">
        <v>5</v>
      </c>
      <c r="M37" t="s">
        <v>6</v>
      </c>
    </row>
    <row r="39" spans="1:13" ht="26" x14ac:dyDescent="0.3">
      <c r="A39" s="7" t="s">
        <v>22</v>
      </c>
    </row>
    <row r="40" spans="1:13" x14ac:dyDescent="0.2">
      <c r="B40" t="s">
        <v>23</v>
      </c>
      <c r="C40">
        <v>1.8706970298621799E-3</v>
      </c>
      <c r="D40">
        <v>0</v>
      </c>
      <c r="E40">
        <v>1.9016265869140601E-2</v>
      </c>
      <c r="F40">
        <v>1.0001659393310499E-3</v>
      </c>
      <c r="G40">
        <v>1.00064277648925E-3</v>
      </c>
      <c r="H40">
        <v>2.0017623901367101E-3</v>
      </c>
      <c r="I40">
        <v>5.0020217895507804E-3</v>
      </c>
      <c r="J40">
        <v>1.00207328796386E-3</v>
      </c>
      <c r="K40">
        <v>7.4827881194487501E-3</v>
      </c>
      <c r="L40">
        <v>0</v>
      </c>
      <c r="M40">
        <v>3416</v>
      </c>
    </row>
    <row r="41" spans="1:13" x14ac:dyDescent="0.2">
      <c r="B41" t="s">
        <v>23</v>
      </c>
      <c r="C41">
        <v>1.6592504129348299E-3</v>
      </c>
      <c r="D41">
        <v>0</v>
      </c>
      <c r="E41">
        <v>9.2061519622802707E-2</v>
      </c>
      <c r="F41">
        <v>1.0001659393310499E-3</v>
      </c>
      <c r="G41">
        <v>1.00064277648925E-3</v>
      </c>
      <c r="H41">
        <v>2.00128555297851E-3</v>
      </c>
      <c r="I41">
        <v>4.0018558502197196E-3</v>
      </c>
      <c r="J41">
        <v>1.0008811950683501E-3</v>
      </c>
      <c r="K41">
        <v>6.63700165173935E-3</v>
      </c>
      <c r="L41">
        <v>0</v>
      </c>
      <c r="M41">
        <v>17404</v>
      </c>
    </row>
    <row r="42" spans="1:13" x14ac:dyDescent="0.2">
      <c r="C42">
        <f>SUMPRODUCT(C36:C41,$M36:$M41)/$M42</f>
        <v>1.6939430951357823E-3</v>
      </c>
      <c r="D42">
        <f>SUMPRODUCT(D36:D41,$M36:$M41)/$M42</f>
        <v>0</v>
      </c>
      <c r="E42">
        <f>SUMPRODUCT(E36:E41,$M36:$M41)/$M42</f>
        <v>8.0076765212499651E-2</v>
      </c>
      <c r="F42">
        <f t="shared" ref="F42:I42" si="4">SUMPRODUCT(F36:F41,$M36:$M41)/$M42</f>
        <v>1.0001659393310499E-3</v>
      </c>
      <c r="G42">
        <f t="shared" si="4"/>
        <v>1.00064277648925E-3</v>
      </c>
      <c r="H42">
        <f t="shared" si="4"/>
        <v>2.0013637890847736E-3</v>
      </c>
      <c r="I42">
        <f t="shared" si="4"/>
        <v>4.1659560831090042E-3</v>
      </c>
      <c r="J42">
        <f>SUMPRODUCT(J36:J41,$M36:$M41)/$M42</f>
        <v>1.001076785334011E-3</v>
      </c>
      <c r="K42">
        <f>SUMPRODUCT(K36:K41,$M36:$M41)/$M42</f>
        <v>6.7757723805431588E-3</v>
      </c>
      <c r="L42">
        <f>SUMPRODUCT(L36:L41,$M36:$M41)/$M42</f>
        <v>0</v>
      </c>
      <c r="M42">
        <f>SUM(M36:M41)</f>
        <v>20820</v>
      </c>
    </row>
    <row r="46" spans="1:13" ht="26" x14ac:dyDescent="0.3">
      <c r="A46" s="7" t="s">
        <v>21</v>
      </c>
    </row>
    <row r="47" spans="1:13" x14ac:dyDescent="0.2">
      <c r="B47" t="s">
        <v>24</v>
      </c>
      <c r="C47">
        <v>1.2134363991873601E-3</v>
      </c>
      <c r="D47">
        <v>0</v>
      </c>
      <c r="E47">
        <v>7.0054531097412101E-3</v>
      </c>
      <c r="F47">
        <v>0</v>
      </c>
      <c r="G47">
        <v>1.0001659393310499E-3</v>
      </c>
      <c r="H47">
        <v>1.00183486938476E-3</v>
      </c>
      <c r="I47">
        <v>2.0031929016113199E-3</v>
      </c>
      <c r="J47">
        <v>1.0008811950683501E-3</v>
      </c>
      <c r="K47">
        <v>3.64030919756208E-3</v>
      </c>
      <c r="L47">
        <v>0.74066570188133096</v>
      </c>
      <c r="M47">
        <v>3455</v>
      </c>
    </row>
    <row r="48" spans="1:13" x14ac:dyDescent="0.2">
      <c r="B48" t="s">
        <v>24</v>
      </c>
      <c r="C48">
        <v>1.2441724175851899E-3</v>
      </c>
      <c r="D48">
        <v>0</v>
      </c>
      <c r="E48">
        <v>2.4017095565795898E-2</v>
      </c>
      <c r="F48">
        <v>0</v>
      </c>
      <c r="G48">
        <v>1.0001659393310499E-3</v>
      </c>
      <c r="H48">
        <v>1.00207328796386E-3</v>
      </c>
      <c r="I48">
        <v>2.0039081573486302E-3</v>
      </c>
      <c r="J48">
        <v>1.0008811950683501E-3</v>
      </c>
      <c r="K48">
        <v>3.7325172527555798E-3</v>
      </c>
      <c r="L48">
        <v>0.78159072650063099</v>
      </c>
      <c r="M48">
        <v>17426</v>
      </c>
    </row>
    <row r="49" spans="3:13" x14ac:dyDescent="0.2">
      <c r="C49">
        <f>SUMPRODUCT(C43:C48,$M43:$M48)/$M49</f>
        <v>1.2390867922049639E-3</v>
      </c>
      <c r="D49">
        <f>SUMPRODUCT(D43:D48,$M43:$M48)/$M49</f>
        <v>0</v>
      </c>
      <c r="E49">
        <f>SUMPRODUCT(E43:E48,$M43:$M48)/$M49</f>
        <v>2.1202324975993257E-2</v>
      </c>
      <c r="F49">
        <f t="shared" ref="F49:I49" si="5">SUMPRODUCT(F43:F48,$M43:$M48)/$M49</f>
        <v>0</v>
      </c>
      <c r="G49">
        <f t="shared" si="5"/>
        <v>1.0001659393310499E-3</v>
      </c>
      <c r="H49">
        <f t="shared" si="5"/>
        <v>1.0020338388861919E-3</v>
      </c>
      <c r="I49">
        <f t="shared" si="5"/>
        <v>2.0037898101156241E-3</v>
      </c>
      <c r="J49">
        <f>SUMPRODUCT(J43:J48,$M43:$M48)/$M49</f>
        <v>1.0008811950683501E-3</v>
      </c>
      <c r="K49">
        <f>SUMPRODUCT(K43:K48,$M43:$M48)/$M49</f>
        <v>3.7172603766148994E-3</v>
      </c>
      <c r="L49">
        <f>SUMPRODUCT(L43:L48,$M43:$M48)/$M49</f>
        <v>0.77481921363919326</v>
      </c>
      <c r="M49">
        <f>SUM(M43:M48)</f>
        <v>20881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RSU1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Reese Grimsley</dc:creator>
  <cp:lastModifiedBy>Reese Grimsley</cp:lastModifiedBy>
  <dcterms:created xsi:type="dcterms:W3CDTF">2021-05-08T14:57:43Z</dcterms:created>
  <dcterms:modified xsi:type="dcterms:W3CDTF">2021-05-08T17:26:05Z</dcterms:modified>
</cp:coreProperties>
</file>